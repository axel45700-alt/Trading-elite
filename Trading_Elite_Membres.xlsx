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xel4\Desktop\Groupe Trading\"/>
    </mc:Choice>
  </mc:AlternateContent>
  <xr:revisionPtr revIDLastSave="0" documentId="13_ncr:1_{B9396674-7E68-4CDA-B0C6-C109C051356E}" xr6:coauthVersionLast="47" xr6:coauthVersionMax="47" xr10:uidLastSave="{00000000-0000-0000-0000-000000000000}"/>
  <bookViews>
    <workbookView xWindow="4035" yWindow="2460" windowWidth="21600" windowHeight="11295" tabRatio="500" xr2:uid="{00000000-000D-0000-FFFF-FFFF00000000}"/>
  </bookViews>
  <sheets>
    <sheet name="Membres" sheetId="1" r:id="rId1"/>
  </sheets>
  <definedNames>
    <definedName name="_xlnm._FilterDatabase" localSheetId="0" hidden="1">Membres!$A$4:$I$104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11" i="1" l="1"/>
  <c r="B110" i="1"/>
  <c r="B109" i="1"/>
  <c r="B108" i="1"/>
  <c r="I104" i="1"/>
  <c r="J104" i="1" s="1"/>
  <c r="H104" i="1"/>
  <c r="G104" i="1"/>
  <c r="I103" i="1"/>
  <c r="J103" i="1" s="1"/>
  <c r="H103" i="1"/>
  <c r="G103" i="1"/>
  <c r="I102" i="1"/>
  <c r="J102" i="1" s="1"/>
  <c r="H102" i="1"/>
  <c r="G102" i="1"/>
  <c r="I101" i="1"/>
  <c r="J101" i="1" s="1"/>
  <c r="H101" i="1"/>
  <c r="G101" i="1"/>
  <c r="I100" i="1"/>
  <c r="J100" i="1" s="1"/>
  <c r="H100" i="1"/>
  <c r="G100" i="1"/>
  <c r="I99" i="1"/>
  <c r="J99" i="1" s="1"/>
  <c r="H99" i="1"/>
  <c r="G99" i="1"/>
  <c r="I98" i="1"/>
  <c r="J98" i="1" s="1"/>
  <c r="H98" i="1"/>
  <c r="G98" i="1"/>
  <c r="H97" i="1"/>
  <c r="G97" i="1"/>
  <c r="I97" i="1" s="1"/>
  <c r="J97" i="1" s="1"/>
  <c r="I96" i="1"/>
  <c r="J96" i="1" s="1"/>
  <c r="H96" i="1"/>
  <c r="G96" i="1"/>
  <c r="I95" i="1"/>
  <c r="J95" i="1" s="1"/>
  <c r="H95" i="1"/>
  <c r="G95" i="1"/>
  <c r="I94" i="1"/>
  <c r="J94" i="1" s="1"/>
  <c r="H94" i="1"/>
  <c r="G94" i="1"/>
  <c r="I93" i="1"/>
  <c r="J93" i="1" s="1"/>
  <c r="H93" i="1"/>
  <c r="G93" i="1"/>
  <c r="I92" i="1"/>
  <c r="J92" i="1" s="1"/>
  <c r="H92" i="1"/>
  <c r="G92" i="1"/>
  <c r="I91" i="1"/>
  <c r="J91" i="1" s="1"/>
  <c r="H91" i="1"/>
  <c r="G91" i="1"/>
  <c r="I90" i="1"/>
  <c r="J90" i="1" s="1"/>
  <c r="H90" i="1"/>
  <c r="G90" i="1"/>
  <c r="I89" i="1"/>
  <c r="J89" i="1" s="1"/>
  <c r="H89" i="1"/>
  <c r="G89" i="1"/>
  <c r="I88" i="1"/>
  <c r="J88" i="1" s="1"/>
  <c r="H88" i="1"/>
  <c r="G88" i="1"/>
  <c r="I87" i="1"/>
  <c r="J87" i="1" s="1"/>
  <c r="H87" i="1"/>
  <c r="G87" i="1"/>
  <c r="I86" i="1"/>
  <c r="J86" i="1" s="1"/>
  <c r="H86" i="1"/>
  <c r="G86" i="1"/>
  <c r="I85" i="1"/>
  <c r="J85" i="1" s="1"/>
  <c r="H85" i="1"/>
  <c r="G85" i="1"/>
  <c r="I84" i="1"/>
  <c r="J84" i="1" s="1"/>
  <c r="H84" i="1"/>
  <c r="G84" i="1"/>
  <c r="I83" i="1"/>
  <c r="J83" i="1" s="1"/>
  <c r="H83" i="1"/>
  <c r="G83" i="1"/>
  <c r="I82" i="1"/>
  <c r="J82" i="1" s="1"/>
  <c r="H82" i="1"/>
  <c r="G82" i="1"/>
  <c r="I81" i="1"/>
  <c r="J81" i="1" s="1"/>
  <c r="H81" i="1"/>
  <c r="G81" i="1"/>
  <c r="I80" i="1"/>
  <c r="J80" i="1" s="1"/>
  <c r="H80" i="1"/>
  <c r="G80" i="1"/>
  <c r="I79" i="1"/>
  <c r="J79" i="1" s="1"/>
  <c r="H79" i="1"/>
  <c r="G79" i="1"/>
  <c r="I78" i="1"/>
  <c r="J78" i="1" s="1"/>
  <c r="H78" i="1"/>
  <c r="G78" i="1"/>
  <c r="I77" i="1"/>
  <c r="J77" i="1" s="1"/>
  <c r="H77" i="1"/>
  <c r="G77" i="1"/>
  <c r="I76" i="1"/>
  <c r="J76" i="1" s="1"/>
  <c r="H76" i="1"/>
  <c r="G76" i="1"/>
  <c r="I75" i="1"/>
  <c r="J75" i="1" s="1"/>
  <c r="H75" i="1"/>
  <c r="G75" i="1"/>
  <c r="I74" i="1"/>
  <c r="J74" i="1" s="1"/>
  <c r="H74" i="1"/>
  <c r="G74" i="1"/>
  <c r="I73" i="1"/>
  <c r="J73" i="1" s="1"/>
  <c r="H73" i="1"/>
  <c r="G73" i="1"/>
  <c r="I72" i="1"/>
  <c r="J72" i="1" s="1"/>
  <c r="H72" i="1"/>
  <c r="G72" i="1"/>
  <c r="I71" i="1"/>
  <c r="J71" i="1" s="1"/>
  <c r="H71" i="1"/>
  <c r="G71" i="1"/>
  <c r="I70" i="1"/>
  <c r="J70" i="1" s="1"/>
  <c r="H70" i="1"/>
  <c r="G70" i="1"/>
  <c r="I69" i="1"/>
  <c r="J69" i="1" s="1"/>
  <c r="H69" i="1"/>
  <c r="G69" i="1"/>
  <c r="I68" i="1"/>
  <c r="J68" i="1" s="1"/>
  <c r="H68" i="1"/>
  <c r="G68" i="1"/>
  <c r="I67" i="1"/>
  <c r="J67" i="1" s="1"/>
  <c r="H67" i="1"/>
  <c r="G67" i="1"/>
  <c r="I66" i="1"/>
  <c r="J66" i="1" s="1"/>
  <c r="H66" i="1"/>
  <c r="G66" i="1"/>
  <c r="I65" i="1"/>
  <c r="J65" i="1" s="1"/>
  <c r="H65" i="1"/>
  <c r="G65" i="1"/>
  <c r="I64" i="1"/>
  <c r="J64" i="1" s="1"/>
  <c r="H64" i="1"/>
  <c r="G64" i="1"/>
  <c r="I63" i="1"/>
  <c r="J63" i="1" s="1"/>
  <c r="H63" i="1"/>
  <c r="G63" i="1"/>
  <c r="I62" i="1"/>
  <c r="J62" i="1" s="1"/>
  <c r="H62" i="1"/>
  <c r="G62" i="1"/>
  <c r="I61" i="1"/>
  <c r="J61" i="1" s="1"/>
  <c r="H61" i="1"/>
  <c r="G61" i="1"/>
  <c r="I60" i="1"/>
  <c r="J60" i="1" s="1"/>
  <c r="H60" i="1"/>
  <c r="G60" i="1"/>
  <c r="I59" i="1"/>
  <c r="J59" i="1" s="1"/>
  <c r="H59" i="1"/>
  <c r="G59" i="1"/>
  <c r="I58" i="1"/>
  <c r="J58" i="1" s="1"/>
  <c r="H58" i="1"/>
  <c r="G58" i="1"/>
  <c r="I57" i="1"/>
  <c r="J57" i="1" s="1"/>
  <c r="H57" i="1"/>
  <c r="G57" i="1"/>
  <c r="I56" i="1"/>
  <c r="J56" i="1" s="1"/>
  <c r="H56" i="1"/>
  <c r="G56" i="1"/>
  <c r="I55" i="1"/>
  <c r="J55" i="1" s="1"/>
  <c r="H55" i="1"/>
  <c r="G55" i="1"/>
  <c r="I54" i="1"/>
  <c r="J54" i="1" s="1"/>
  <c r="H54" i="1"/>
  <c r="G54" i="1"/>
  <c r="I53" i="1"/>
  <c r="J53" i="1" s="1"/>
  <c r="H53" i="1"/>
  <c r="G53" i="1"/>
  <c r="I52" i="1"/>
  <c r="J52" i="1" s="1"/>
  <c r="H52" i="1"/>
  <c r="G52" i="1"/>
  <c r="I51" i="1"/>
  <c r="J51" i="1" s="1"/>
  <c r="H51" i="1"/>
  <c r="G51" i="1"/>
  <c r="I50" i="1"/>
  <c r="J50" i="1" s="1"/>
  <c r="H50" i="1"/>
  <c r="G50" i="1"/>
  <c r="I49" i="1"/>
  <c r="J49" i="1" s="1"/>
  <c r="H49" i="1"/>
  <c r="G49" i="1"/>
  <c r="I48" i="1"/>
  <c r="J48" i="1" s="1"/>
  <c r="H48" i="1"/>
  <c r="G48" i="1"/>
  <c r="I47" i="1"/>
  <c r="J47" i="1" s="1"/>
  <c r="H47" i="1"/>
  <c r="G47" i="1"/>
  <c r="I46" i="1"/>
  <c r="J46" i="1" s="1"/>
  <c r="H46" i="1"/>
  <c r="G46" i="1"/>
  <c r="I45" i="1"/>
  <c r="J45" i="1" s="1"/>
  <c r="H45" i="1"/>
  <c r="G45" i="1"/>
  <c r="I44" i="1"/>
  <c r="J44" i="1" s="1"/>
  <c r="H44" i="1"/>
  <c r="G44" i="1"/>
  <c r="I43" i="1"/>
  <c r="J43" i="1" s="1"/>
  <c r="H43" i="1"/>
  <c r="G43" i="1"/>
  <c r="I42" i="1"/>
  <c r="J42" i="1" s="1"/>
  <c r="H42" i="1"/>
  <c r="G42" i="1"/>
  <c r="I41" i="1"/>
  <c r="J41" i="1" s="1"/>
  <c r="H41" i="1"/>
  <c r="G41" i="1"/>
  <c r="I40" i="1"/>
  <c r="J40" i="1" s="1"/>
  <c r="H40" i="1"/>
  <c r="G40" i="1"/>
  <c r="I39" i="1"/>
  <c r="J39" i="1" s="1"/>
  <c r="H39" i="1"/>
  <c r="G39" i="1"/>
  <c r="I38" i="1"/>
  <c r="J38" i="1" s="1"/>
  <c r="H38" i="1"/>
  <c r="G38" i="1"/>
  <c r="I37" i="1"/>
  <c r="J37" i="1" s="1"/>
  <c r="H37" i="1"/>
  <c r="G37" i="1"/>
  <c r="I36" i="1"/>
  <c r="J36" i="1" s="1"/>
  <c r="H36" i="1"/>
  <c r="G36" i="1"/>
  <c r="I35" i="1"/>
  <c r="J35" i="1" s="1"/>
  <c r="H35" i="1"/>
  <c r="G35" i="1"/>
  <c r="I34" i="1"/>
  <c r="J34" i="1" s="1"/>
  <c r="H34" i="1"/>
  <c r="G34" i="1"/>
  <c r="I33" i="1"/>
  <c r="J33" i="1" s="1"/>
  <c r="H33" i="1"/>
  <c r="G33" i="1"/>
  <c r="I32" i="1"/>
  <c r="J32" i="1" s="1"/>
  <c r="H32" i="1"/>
  <c r="G32" i="1"/>
  <c r="I31" i="1"/>
  <c r="J31" i="1" s="1"/>
  <c r="H31" i="1"/>
  <c r="G31" i="1"/>
  <c r="I30" i="1"/>
  <c r="J30" i="1" s="1"/>
  <c r="H30" i="1"/>
  <c r="G30" i="1"/>
  <c r="I29" i="1"/>
  <c r="J29" i="1" s="1"/>
  <c r="H29" i="1"/>
  <c r="G29" i="1"/>
  <c r="I28" i="1"/>
  <c r="J28" i="1" s="1"/>
  <c r="H28" i="1"/>
  <c r="G28" i="1"/>
  <c r="I27" i="1"/>
  <c r="J27" i="1" s="1"/>
  <c r="H27" i="1"/>
  <c r="G27" i="1"/>
  <c r="I26" i="1"/>
  <c r="J26" i="1" s="1"/>
  <c r="H26" i="1"/>
  <c r="G26" i="1"/>
  <c r="I25" i="1"/>
  <c r="J25" i="1" s="1"/>
  <c r="H25" i="1"/>
  <c r="G25" i="1"/>
  <c r="I24" i="1"/>
  <c r="J24" i="1" s="1"/>
  <c r="H24" i="1"/>
  <c r="G24" i="1"/>
  <c r="I23" i="1"/>
  <c r="J23" i="1" s="1"/>
  <c r="H23" i="1"/>
  <c r="G23" i="1"/>
  <c r="I22" i="1"/>
  <c r="J22" i="1" s="1"/>
  <c r="H22" i="1"/>
  <c r="G22" i="1"/>
  <c r="I21" i="1"/>
  <c r="J21" i="1" s="1"/>
  <c r="H21" i="1"/>
  <c r="G21" i="1"/>
  <c r="I20" i="1"/>
  <c r="J20" i="1" s="1"/>
  <c r="H20" i="1"/>
  <c r="G20" i="1"/>
  <c r="I19" i="1"/>
  <c r="J19" i="1" s="1"/>
  <c r="H19" i="1"/>
  <c r="G19" i="1"/>
  <c r="I18" i="1"/>
  <c r="J18" i="1" s="1"/>
  <c r="H18" i="1"/>
  <c r="G18" i="1"/>
  <c r="I17" i="1"/>
  <c r="J17" i="1" s="1"/>
  <c r="H17" i="1"/>
  <c r="G17" i="1"/>
  <c r="I16" i="1"/>
  <c r="J16" i="1" s="1"/>
  <c r="H16" i="1"/>
  <c r="G16" i="1"/>
  <c r="I15" i="1"/>
  <c r="J15" i="1" s="1"/>
  <c r="H15" i="1"/>
  <c r="G15" i="1"/>
  <c r="I14" i="1"/>
  <c r="J14" i="1" s="1"/>
  <c r="H14" i="1"/>
  <c r="G14" i="1"/>
  <c r="I13" i="1"/>
  <c r="J13" i="1" s="1"/>
  <c r="H13" i="1"/>
  <c r="G13" i="1"/>
  <c r="I12" i="1"/>
  <c r="J12" i="1" s="1"/>
  <c r="H12" i="1"/>
  <c r="G12" i="1"/>
  <c r="I11" i="1"/>
  <c r="J11" i="1" s="1"/>
  <c r="H11" i="1"/>
  <c r="G11" i="1"/>
  <c r="I10" i="1"/>
  <c r="J10" i="1" s="1"/>
  <c r="H10" i="1"/>
  <c r="G10" i="1"/>
  <c r="I9" i="1"/>
  <c r="J9" i="1" s="1"/>
  <c r="H9" i="1"/>
  <c r="G9" i="1"/>
  <c r="I8" i="1"/>
  <c r="J8" i="1" s="1"/>
  <c r="H8" i="1"/>
  <c r="G8" i="1"/>
  <c r="I7" i="1"/>
  <c r="J7" i="1" s="1"/>
  <c r="H7" i="1"/>
  <c r="G7" i="1"/>
  <c r="I6" i="1"/>
  <c r="J6" i="1" s="1"/>
  <c r="H6" i="1"/>
  <c r="G6" i="1"/>
  <c r="H5" i="1"/>
  <c r="G5" i="1"/>
  <c r="I5" i="1" s="1"/>
  <c r="J5" i="1" s="1"/>
  <c r="B112" i="1" l="1"/>
</calcChain>
</file>

<file path=xl/sharedStrings.xml><?xml version="1.0" encoding="utf-8"?>
<sst xmlns="http://schemas.openxmlformats.org/spreadsheetml/2006/main" count="22" uniqueCount="21">
  <si>
    <t>TRADING ELITE - Gestion des Membres</t>
  </si>
  <si>
    <t>Abonnement: 60€/mois | Parrainage: -15€/filleul</t>
  </si>
  <si>
    <t>Nom</t>
  </si>
  <si>
    <t>Numéro</t>
  </si>
  <si>
    <t>Date d'entrée</t>
  </si>
  <si>
    <t>Semaine gratuite</t>
  </si>
  <si>
    <t>A payé</t>
  </si>
  <si>
    <t>Invité par (n°)</t>
  </si>
  <si>
    <t>Nb parrainages</t>
  </si>
  <si>
    <t>Jours restants</t>
  </si>
  <si>
    <t>Prix mensuel (€)</t>
  </si>
  <si>
    <t>Non</t>
  </si>
  <si>
    <t>Oui</t>
  </si>
  <si>
    <t>RÉSUMÉ</t>
  </si>
  <si>
    <t>Total membres</t>
  </si>
  <si>
    <t>En semaine gratuite</t>
  </si>
  <si>
    <t>Ont payé</t>
  </si>
  <si>
    <t>N'ont pas payé</t>
  </si>
  <si>
    <t>Revenus mensuels estimés (€)</t>
  </si>
  <si>
    <t>Xavier DIAS</t>
  </si>
  <si>
    <t>0661152745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</si>
</sst>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color rgb="FFE2B93B"/>
      <name val="Arial"/>
      <charset val="1"/>
    </font>
    <font>
      <b/>
      <sz val="10"/>
      <color rgb="FF888888"/>
      <name val="Arial"/>
      <charset val="1"/>
    </font>
    <font>
      <b/>
      <sz val="11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3498DB"/>
      <name val="Arial"/>
      <charset val="1"/>
    </font>
    <font>
      <b/>
      <sz val="10"/>
      <color rgb="FF27AE60"/>
      <name val="Arial"/>
      <charset val="1"/>
    </font>
    <font>
      <b/>
      <sz val="12"/>
      <color rgb="FFE2B93B"/>
      <name val="Arial"/>
      <charset val="1"/>
    </font>
    <font>
      <b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E2B93B"/>
        <bgColor rgb="FFFF9900"/>
      </patternFill>
    </fill>
    <fill>
      <patternFill patternType="solid">
        <fgColor rgb="FFF0F0F0"/>
        <bgColor rgb="FFFFFF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0F0F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498DB"/>
      <rgbColor rgb="FF33CCCC"/>
      <rgbColor rgb="FF99CC00"/>
      <rgbColor rgb="FFE2B93B"/>
      <rgbColor rgb="FFFF9900"/>
      <rgbColor rgb="FFFF6600"/>
      <rgbColor rgb="FF666699"/>
      <rgbColor rgb="FF969696"/>
      <rgbColor rgb="FF003366"/>
      <rgbColor rgb="FF27AE6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2"/>
  <sheetViews>
    <sheetView tabSelected="1" zoomScaleNormal="100" workbookViewId="0">
      <pane ySplit="4" topLeftCell="A97" activePane="bottomLeft" state="frozen"/>
      <selection pane="bottomLeft" activeCell="B99" sqref="B99"/>
    </sheetView>
  </sheetViews>
  <sheetFormatPr baseColWidth="10" defaultColWidth="8.7109375" defaultRowHeight="15" customHeight="1" x14ac:dyDescent="0.25"/>
  <cols>
    <col min="1" max="1" width="20" customWidth="1"/>
    <col min="2" max="2" width="18" customWidth="1"/>
    <col min="3" max="3" width="15" customWidth="1"/>
    <col min="4" max="4" width="16" customWidth="1"/>
    <col min="5" max="5" width="12" customWidth="1"/>
    <col min="6" max="6" width="18" customWidth="1"/>
    <col min="7" max="7" width="16" customWidth="1"/>
    <col min="8" max="8" width="19.140625" customWidth="1"/>
    <col min="9" max="9" width="17" customWidth="1"/>
    <col min="10" max="10" width="13" hidden="1" customWidth="1"/>
  </cols>
  <sheetData>
    <row r="1" spans="1:10" ht="18" x14ac:dyDescent="0.25">
      <c r="A1" s="9" t="s">
        <v>0</v>
      </c>
      <c r="B1" s="9"/>
      <c r="C1" s="9"/>
      <c r="D1" s="9"/>
      <c r="E1" s="9"/>
      <c r="F1" s="9"/>
      <c r="G1" s="9"/>
      <c r="H1" s="9"/>
    </row>
    <row r="2" spans="1:10" x14ac:dyDescent="0.25">
      <c r="A2" s="10" t="s">
        <v>1</v>
      </c>
      <c r="B2" s="10"/>
      <c r="C2" s="10"/>
      <c r="D2" s="10"/>
      <c r="E2" s="10"/>
      <c r="F2" s="10"/>
      <c r="G2" s="10"/>
      <c r="H2" s="10"/>
    </row>
    <row r="4" spans="1:10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10" x14ac:dyDescent="0.25">
      <c r="A5" s="2"/>
      <c r="B5" s="3"/>
      <c r="C5" s="4"/>
      <c r="D5" s="2"/>
      <c r="E5" s="2"/>
      <c r="F5" s="3"/>
      <c r="G5" s="5" t="str">
        <f t="shared" ref="G5:G36" si="0">IF(B5="","",SUMPRODUCT(($F$5:$F$104=B5)*($E$5:$E$104="Oui")))</f>
        <v/>
      </c>
      <c r="H5" s="6" t="str">
        <f t="shared" ref="H5:H36" ca="1" si="1">IF(D5="Oui",MAX(0,7-(TODAY()-C5)),"")</f>
        <v/>
      </c>
      <c r="I5" s="6" t="str">
        <f t="shared" ref="I5:I36" si="2">IF(B5="","",IF(D5="Oui","GRATUIT",MAX(0,60-(G5*15))))</f>
        <v/>
      </c>
      <c r="J5">
        <f t="shared" ref="J5:J36" si="3">IF(ISNUMBER(I5),I5,0)</f>
        <v>0</v>
      </c>
    </row>
    <row r="6" spans="1:10" x14ac:dyDescent="0.25">
      <c r="A6" s="2"/>
      <c r="B6" s="3"/>
      <c r="C6" s="4"/>
      <c r="D6" s="2"/>
      <c r="E6" s="2"/>
      <c r="F6" s="3"/>
      <c r="G6" s="5" t="str">
        <f t="shared" si="0"/>
        <v/>
      </c>
      <c r="H6" s="6" t="str">
        <f t="shared" ca="1" si="1"/>
        <v/>
      </c>
      <c r="I6" s="6" t="str">
        <f t="shared" si="2"/>
        <v/>
      </c>
      <c r="J6">
        <f t="shared" si="3"/>
        <v>0</v>
      </c>
    </row>
    <row r="7" spans="1:10" x14ac:dyDescent="0.25">
      <c r="A7" s="2"/>
      <c r="B7" s="3"/>
      <c r="C7" s="4"/>
      <c r="D7" s="2"/>
      <c r="E7" s="2"/>
      <c r="F7" s="3"/>
      <c r="G7" s="5" t="str">
        <f t="shared" si="0"/>
        <v/>
      </c>
      <c r="H7" s="6" t="str">
        <f t="shared" ca="1" si="1"/>
        <v/>
      </c>
      <c r="I7" s="6" t="str">
        <f t="shared" si="2"/>
        <v/>
      </c>
      <c r="J7">
        <f t="shared" si="3"/>
        <v>0</v>
      </c>
    </row>
    <row r="8" spans="1:10" x14ac:dyDescent="0.25">
      <c r="A8" s="2"/>
      <c r="B8" s="3"/>
      <c r="C8" s="4"/>
      <c r="D8" s="2"/>
      <c r="E8" s="2"/>
      <c r="F8" s="3"/>
      <c r="G8" s="5" t="str">
        <f t="shared" si="0"/>
        <v/>
      </c>
      <c r="H8" s="6" t="str">
        <f t="shared" ca="1" si="1"/>
        <v/>
      </c>
      <c r="I8" s="6" t="str">
        <f t="shared" si="2"/>
        <v/>
      </c>
      <c r="J8">
        <f t="shared" si="3"/>
        <v>0</v>
      </c>
    </row>
    <row r="9" spans="1:10" x14ac:dyDescent="0.25">
      <c r="A9" s="2"/>
      <c r="B9" s="3"/>
      <c r="C9" s="4"/>
      <c r="D9" s="2"/>
      <c r="E9" s="2"/>
      <c r="F9" s="3"/>
      <c r="G9" s="5" t="str">
        <f t="shared" si="0"/>
        <v/>
      </c>
      <c r="H9" s="6" t="str">
        <f t="shared" ca="1" si="1"/>
        <v/>
      </c>
      <c r="I9" s="6" t="str">
        <f t="shared" si="2"/>
        <v/>
      </c>
      <c r="J9">
        <f t="shared" si="3"/>
        <v>0</v>
      </c>
    </row>
    <row r="10" spans="1:10" x14ac:dyDescent="0.25">
      <c r="A10" s="2"/>
      <c r="B10" s="3"/>
      <c r="C10" s="4"/>
      <c r="D10" s="2"/>
      <c r="E10" s="2"/>
      <c r="F10" s="3"/>
      <c r="G10" s="5" t="str">
        <f t="shared" si="0"/>
        <v/>
      </c>
      <c r="H10" s="6" t="str">
        <f t="shared" ca="1" si="1"/>
        <v/>
      </c>
      <c r="I10" s="6" t="str">
        <f t="shared" si="2"/>
        <v/>
      </c>
      <c r="J10">
        <f t="shared" si="3"/>
        <v>0</v>
      </c>
    </row>
    <row r="11" spans="1:10" x14ac:dyDescent="0.25">
      <c r="A11" s="2"/>
      <c r="B11" s="3"/>
      <c r="C11" s="4"/>
      <c r="D11" s="2"/>
      <c r="E11" s="2"/>
      <c r="F11" s="3"/>
      <c r="G11" s="5" t="str">
        <f t="shared" si="0"/>
        <v/>
      </c>
      <c r="H11" s="6" t="str">
        <f t="shared" ca="1" si="1"/>
        <v/>
      </c>
      <c r="I11" s="6" t="str">
        <f t="shared" si="2"/>
        <v/>
      </c>
      <c r="J11">
        <f t="shared" si="3"/>
        <v>0</v>
      </c>
    </row>
    <row r="12" spans="1:10" x14ac:dyDescent="0.25">
      <c r="A12" s="2"/>
      <c r="B12" s="3"/>
      <c r="C12" s="4"/>
      <c r="D12" s="2"/>
      <c r="E12" s="2"/>
      <c r="F12" s="3"/>
      <c r="G12" s="5" t="str">
        <f t="shared" si="0"/>
        <v/>
      </c>
      <c r="H12" s="6" t="str">
        <f t="shared" ca="1" si="1"/>
        <v/>
      </c>
      <c r="I12" s="6" t="str">
        <f t="shared" si="2"/>
        <v/>
      </c>
      <c r="J12">
        <f t="shared" si="3"/>
        <v>0</v>
      </c>
    </row>
    <row r="13" spans="1:10" x14ac:dyDescent="0.25">
      <c r="A13" s="2"/>
      <c r="B13" s="3"/>
      <c r="C13" s="4"/>
      <c r="D13" s="2"/>
      <c r="E13" s="2"/>
      <c r="F13" s="3"/>
      <c r="G13" s="5" t="str">
        <f t="shared" si="0"/>
        <v/>
      </c>
      <c r="H13" s="6" t="str">
        <f t="shared" ca="1" si="1"/>
        <v/>
      </c>
      <c r="I13" s="6" t="str">
        <f t="shared" si="2"/>
        <v/>
      </c>
      <c r="J13">
        <f t="shared" si="3"/>
        <v>0</v>
      </c>
    </row>
    <row r="14" spans="1:10" x14ac:dyDescent="0.25">
      <c r="A14" s="2"/>
      <c r="B14" s="3"/>
      <c r="C14" s="4"/>
      <c r="D14" s="2"/>
      <c r="E14" s="2"/>
      <c r="F14" s="3"/>
      <c r="G14" s="5" t="str">
        <f t="shared" si="0"/>
        <v/>
      </c>
      <c r="H14" s="6" t="str">
        <f t="shared" ca="1" si="1"/>
        <v/>
      </c>
      <c r="I14" s="6" t="str">
        <f t="shared" si="2"/>
        <v/>
      </c>
      <c r="J14">
        <f t="shared" si="3"/>
        <v>0</v>
      </c>
    </row>
    <row r="15" spans="1:10" x14ac:dyDescent="0.25">
      <c r="A15" s="2"/>
      <c r="B15" s="3"/>
      <c r="C15" s="4"/>
      <c r="D15" s="2"/>
      <c r="E15" s="2"/>
      <c r="F15" s="3"/>
      <c r="G15" s="5" t="str">
        <f t="shared" si="0"/>
        <v/>
      </c>
      <c r="H15" s="6" t="str">
        <f t="shared" ca="1" si="1"/>
        <v/>
      </c>
      <c r="I15" s="6" t="str">
        <f t="shared" si="2"/>
        <v/>
      </c>
      <c r="J15">
        <f t="shared" si="3"/>
        <v>0</v>
      </c>
    </row>
    <row r="16" spans="1:10" x14ac:dyDescent="0.25">
      <c r="A16" s="2"/>
      <c r="B16" s="3"/>
      <c r="C16" s="4"/>
      <c r="D16" s="2"/>
      <c r="E16" s="2"/>
      <c r="F16" s="3"/>
      <c r="G16" s="5" t="str">
        <f t="shared" si="0"/>
        <v/>
      </c>
      <c r="H16" s="6" t="str">
        <f t="shared" ca="1" si="1"/>
        <v/>
      </c>
      <c r="I16" s="6" t="str">
        <f t="shared" si="2"/>
        <v/>
      </c>
      <c r="J16">
        <f t="shared" si="3"/>
        <v>0</v>
      </c>
    </row>
    <row r="17" spans="1:10" x14ac:dyDescent="0.25">
      <c r="A17" s="2"/>
      <c r="B17" s="3"/>
      <c r="C17" s="4"/>
      <c r="D17" s="2"/>
      <c r="E17" s="2"/>
      <c r="F17" s="3"/>
      <c r="G17" s="5" t="str">
        <f t="shared" si="0"/>
        <v/>
      </c>
      <c r="H17" s="6" t="str">
        <f t="shared" ca="1" si="1"/>
        <v/>
      </c>
      <c r="I17" s="6" t="str">
        <f t="shared" si="2"/>
        <v/>
      </c>
      <c r="J17">
        <f t="shared" si="3"/>
        <v>0</v>
      </c>
    </row>
    <row r="18" spans="1:10" x14ac:dyDescent="0.25">
      <c r="A18" s="2"/>
      <c r="B18" s="3"/>
      <c r="C18" s="4"/>
      <c r="D18" s="2"/>
      <c r="E18" s="2"/>
      <c r="F18" s="3"/>
      <c r="G18" s="5" t="str">
        <f t="shared" si="0"/>
        <v/>
      </c>
      <c r="H18" s="6" t="str">
        <f t="shared" ca="1" si="1"/>
        <v/>
      </c>
      <c r="I18" s="6" t="str">
        <f t="shared" si="2"/>
        <v/>
      </c>
      <c r="J18">
        <f t="shared" si="3"/>
        <v>0</v>
      </c>
    </row>
    <row r="19" spans="1:10" x14ac:dyDescent="0.25">
      <c r="A19" s="2"/>
      <c r="B19" s="3"/>
      <c r="C19" s="4"/>
      <c r="D19" s="2"/>
      <c r="E19" s="2"/>
      <c r="F19" s="3"/>
      <c r="G19" s="5" t="str">
        <f t="shared" si="0"/>
        <v/>
      </c>
      <c r="H19" s="6" t="str">
        <f t="shared" ca="1" si="1"/>
        <v/>
      </c>
      <c r="I19" s="6" t="str">
        <f t="shared" si="2"/>
        <v/>
      </c>
      <c r="J19">
        <f t="shared" si="3"/>
        <v>0</v>
      </c>
    </row>
    <row r="20" spans="1:10" x14ac:dyDescent="0.25">
      <c r="A20" s="2"/>
      <c r="B20" s="3"/>
      <c r="C20" s="4"/>
      <c r="D20" s="2"/>
      <c r="E20" s="2"/>
      <c r="F20" s="3"/>
      <c r="G20" s="5" t="str">
        <f t="shared" si="0"/>
        <v/>
      </c>
      <c r="H20" s="6" t="str">
        <f t="shared" ca="1" si="1"/>
        <v/>
      </c>
      <c r="I20" s="6" t="str">
        <f t="shared" si="2"/>
        <v/>
      </c>
      <c r="J20">
        <f t="shared" si="3"/>
        <v>0</v>
      </c>
    </row>
    <row r="21" spans="1:10" x14ac:dyDescent="0.25">
      <c r="A21" s="2"/>
      <c r="B21" s="3"/>
      <c r="C21" s="4"/>
      <c r="D21" s="2"/>
      <c r="E21" s="2"/>
      <c r="F21" s="3"/>
      <c r="G21" s="5" t="str">
        <f t="shared" si="0"/>
        <v/>
      </c>
      <c r="H21" s="6" t="str">
        <f t="shared" ca="1" si="1"/>
        <v/>
      </c>
      <c r="I21" s="6" t="str">
        <f t="shared" si="2"/>
        <v/>
      </c>
      <c r="J21">
        <f t="shared" si="3"/>
        <v>0</v>
      </c>
    </row>
    <row r="22" spans="1:10" x14ac:dyDescent="0.25">
      <c r="A22" s="2"/>
      <c r="B22" s="3"/>
      <c r="C22" s="4"/>
      <c r="D22" s="2"/>
      <c r="E22" s="2"/>
      <c r="F22" s="3"/>
      <c r="G22" s="5" t="str">
        <f t="shared" si="0"/>
        <v/>
      </c>
      <c r="H22" s="6" t="str">
        <f t="shared" ca="1" si="1"/>
        <v/>
      </c>
      <c r="I22" s="6" t="str">
        <f t="shared" si="2"/>
        <v/>
      </c>
      <c r="J22">
        <f t="shared" si="3"/>
        <v>0</v>
      </c>
    </row>
    <row r="23" spans="1:10" x14ac:dyDescent="0.25">
      <c r="A23" s="2"/>
      <c r="B23" s="3"/>
      <c r="C23" s="4"/>
      <c r="D23" s="2"/>
      <c r="E23" s="2"/>
      <c r="F23" s="3"/>
      <c r="G23" s="5" t="str">
        <f t="shared" si="0"/>
        <v/>
      </c>
      <c r="H23" s="6" t="str">
        <f t="shared" ca="1" si="1"/>
        <v/>
      </c>
      <c r="I23" s="6" t="str">
        <f t="shared" si="2"/>
        <v/>
      </c>
      <c r="J23">
        <f t="shared" si="3"/>
        <v>0</v>
      </c>
    </row>
    <row r="24" spans="1:10" x14ac:dyDescent="0.25">
      <c r="A24" s="2"/>
      <c r="B24" s="3"/>
      <c r="C24" s="4"/>
      <c r="D24" s="2"/>
      <c r="E24" s="2"/>
      <c r="F24" s="3"/>
      <c r="G24" s="5" t="str">
        <f t="shared" si="0"/>
        <v/>
      </c>
      <c r="H24" s="6" t="str">
        <f t="shared" ca="1" si="1"/>
        <v/>
      </c>
      <c r="I24" s="6" t="str">
        <f t="shared" si="2"/>
        <v/>
      </c>
      <c r="J24">
        <f t="shared" si="3"/>
        <v>0</v>
      </c>
    </row>
    <row r="25" spans="1:10" x14ac:dyDescent="0.25">
      <c r="A25" s="2"/>
      <c r="B25" s="3"/>
      <c r="C25" s="4"/>
      <c r="D25" s="2"/>
      <c r="E25" s="2"/>
      <c r="F25" s="3"/>
      <c r="G25" s="5" t="str">
        <f t="shared" si="0"/>
        <v/>
      </c>
      <c r="H25" s="6" t="str">
        <f t="shared" ca="1" si="1"/>
        <v/>
      </c>
      <c r="I25" s="6" t="str">
        <f t="shared" si="2"/>
        <v/>
      </c>
      <c r="J25">
        <f t="shared" si="3"/>
        <v>0</v>
      </c>
    </row>
    <row r="26" spans="1:10" x14ac:dyDescent="0.25">
      <c r="A26" s="2"/>
      <c r="B26" s="3"/>
      <c r="C26" s="4"/>
      <c r="D26" s="2"/>
      <c r="E26" s="2"/>
      <c r="F26" s="3"/>
      <c r="G26" s="5" t="str">
        <f t="shared" si="0"/>
        <v/>
      </c>
      <c r="H26" s="6" t="str">
        <f t="shared" ca="1" si="1"/>
        <v/>
      </c>
      <c r="I26" s="6" t="str">
        <f t="shared" si="2"/>
        <v/>
      </c>
      <c r="J26">
        <f t="shared" si="3"/>
        <v>0</v>
      </c>
    </row>
    <row r="27" spans="1:10" x14ac:dyDescent="0.25">
      <c r="A27" s="2"/>
      <c r="B27" s="3"/>
      <c r="C27" s="4"/>
      <c r="D27" s="2"/>
      <c r="E27" s="2"/>
      <c r="F27" s="3"/>
      <c r="G27" s="5" t="str">
        <f t="shared" si="0"/>
        <v/>
      </c>
      <c r="H27" s="6" t="str">
        <f t="shared" ca="1" si="1"/>
        <v/>
      </c>
      <c r="I27" s="6" t="str">
        <f t="shared" si="2"/>
        <v/>
      </c>
      <c r="J27">
        <f t="shared" si="3"/>
        <v>0</v>
      </c>
    </row>
    <row r="28" spans="1:10" x14ac:dyDescent="0.25">
      <c r="A28" s="2"/>
      <c r="B28" s="3"/>
      <c r="C28" s="4"/>
      <c r="D28" s="2"/>
      <c r="E28" s="2"/>
      <c r="F28" s="3"/>
      <c r="G28" s="5" t="str">
        <f t="shared" si="0"/>
        <v/>
      </c>
      <c r="H28" s="6" t="str">
        <f t="shared" ca="1" si="1"/>
        <v/>
      </c>
      <c r="I28" s="6" t="str">
        <f t="shared" si="2"/>
        <v/>
      </c>
      <c r="J28">
        <f t="shared" si="3"/>
        <v>0</v>
      </c>
    </row>
    <row r="29" spans="1:10" x14ac:dyDescent="0.25">
      <c r="A29" s="2"/>
      <c r="B29" s="3"/>
      <c r="C29" s="4"/>
      <c r="D29" s="2"/>
      <c r="E29" s="2"/>
      <c r="F29" s="3"/>
      <c r="G29" s="5" t="str">
        <f t="shared" si="0"/>
        <v/>
      </c>
      <c r="H29" s="6" t="str">
        <f t="shared" ca="1" si="1"/>
        <v/>
      </c>
      <c r="I29" s="6" t="str">
        <f t="shared" si="2"/>
        <v/>
      </c>
      <c r="J29">
        <f t="shared" si="3"/>
        <v>0</v>
      </c>
    </row>
    <row r="30" spans="1:10" x14ac:dyDescent="0.25">
      <c r="A30" s="2"/>
      <c r="B30" s="3"/>
      <c r="C30" s="4"/>
      <c r="D30" s="2"/>
      <c r="E30" s="2"/>
      <c r="F30" s="3"/>
      <c r="G30" s="5" t="str">
        <f t="shared" si="0"/>
        <v/>
      </c>
      <c r="H30" s="6" t="str">
        <f t="shared" ca="1" si="1"/>
        <v/>
      </c>
      <c r="I30" s="6" t="str">
        <f t="shared" si="2"/>
        <v/>
      </c>
      <c r="J30">
        <f t="shared" si="3"/>
        <v>0</v>
      </c>
    </row>
    <row r="31" spans="1:10" x14ac:dyDescent="0.25">
      <c r="A31" s="2"/>
      <c r="B31" s="3"/>
      <c r="C31" s="4"/>
      <c r="D31" s="2"/>
      <c r="E31" s="2"/>
      <c r="F31" s="3"/>
      <c r="G31" s="5" t="str">
        <f t="shared" si="0"/>
        <v/>
      </c>
      <c r="H31" s="6" t="str">
        <f t="shared" ca="1" si="1"/>
        <v/>
      </c>
      <c r="I31" s="6" t="str">
        <f t="shared" si="2"/>
        <v/>
      </c>
      <c r="J31">
        <f t="shared" si="3"/>
        <v>0</v>
      </c>
    </row>
    <row r="32" spans="1:10" x14ac:dyDescent="0.25">
      <c r="A32" s="2"/>
      <c r="B32" s="3"/>
      <c r="C32" s="4"/>
      <c r="D32" s="2"/>
      <c r="E32" s="2"/>
      <c r="F32" s="3"/>
      <c r="G32" s="5" t="str">
        <f t="shared" si="0"/>
        <v/>
      </c>
      <c r="H32" s="6" t="str">
        <f t="shared" ca="1" si="1"/>
        <v/>
      </c>
      <c r="I32" s="6" t="str">
        <f t="shared" si="2"/>
        <v/>
      </c>
      <c r="J32">
        <f t="shared" si="3"/>
        <v>0</v>
      </c>
    </row>
    <row r="33" spans="1:10" x14ac:dyDescent="0.25">
      <c r="A33" s="2"/>
      <c r="B33" s="3"/>
      <c r="C33" s="4"/>
      <c r="D33" s="2"/>
      <c r="E33" s="2"/>
      <c r="F33" s="3"/>
      <c r="G33" s="5" t="str">
        <f t="shared" si="0"/>
        <v/>
      </c>
      <c r="H33" s="6" t="str">
        <f t="shared" ca="1" si="1"/>
        <v/>
      </c>
      <c r="I33" s="6" t="str">
        <f t="shared" si="2"/>
        <v/>
      </c>
      <c r="J33">
        <f t="shared" si="3"/>
        <v>0</v>
      </c>
    </row>
    <row r="34" spans="1:10" x14ac:dyDescent="0.25">
      <c r="A34" s="2"/>
      <c r="B34" s="3"/>
      <c r="C34" s="4"/>
      <c r="D34" s="2"/>
      <c r="E34" s="2"/>
      <c r="F34" s="3"/>
      <c r="G34" s="5" t="str">
        <f t="shared" si="0"/>
        <v/>
      </c>
      <c r="H34" s="6" t="str">
        <f t="shared" ca="1" si="1"/>
        <v/>
      </c>
      <c r="I34" s="6" t="str">
        <f t="shared" si="2"/>
        <v/>
      </c>
      <c r="J34">
        <f t="shared" si="3"/>
        <v>0</v>
      </c>
    </row>
    <row r="35" spans="1:10" x14ac:dyDescent="0.25">
      <c r="A35" s="2"/>
      <c r="B35" s="3"/>
      <c r="C35" s="4"/>
      <c r="D35" s="2"/>
      <c r="E35" s="2"/>
      <c r="F35" s="3"/>
      <c r="G35" s="5" t="str">
        <f t="shared" si="0"/>
        <v/>
      </c>
      <c r="H35" s="6" t="str">
        <f t="shared" ca="1" si="1"/>
        <v/>
      </c>
      <c r="I35" s="6" t="str">
        <f t="shared" si="2"/>
        <v/>
      </c>
      <c r="J35">
        <f t="shared" si="3"/>
        <v>0</v>
      </c>
    </row>
    <row r="36" spans="1:10" x14ac:dyDescent="0.25">
      <c r="A36" s="2"/>
      <c r="B36" s="3"/>
      <c r="C36" s="4"/>
      <c r="D36" s="2"/>
      <c r="E36" s="2"/>
      <c r="F36" s="3"/>
      <c r="G36" s="5" t="str">
        <f t="shared" si="0"/>
        <v/>
      </c>
      <c r="H36" s="6" t="str">
        <f t="shared" ca="1" si="1"/>
        <v/>
      </c>
      <c r="I36" s="6" t="str">
        <f t="shared" si="2"/>
        <v/>
      </c>
      <c r="J36">
        <f t="shared" si="3"/>
        <v>0</v>
      </c>
    </row>
    <row r="37" spans="1:10" x14ac:dyDescent="0.25">
      <c r="A37" s="2"/>
      <c r="B37" s="3"/>
      <c r="C37" s="4"/>
      <c r="D37" s="2"/>
      <c r="E37" s="2"/>
      <c r="F37" s="3"/>
      <c r="G37" s="5" t="str">
        <f t="shared" ref="G37:G68" si="4">IF(B37="","",SUMPRODUCT(($F$5:$F$104=B37)*($E$5:$E$104="Oui")))</f>
        <v/>
      </c>
      <c r="H37" s="6" t="str">
        <f t="shared" ref="H37:H68" ca="1" si="5">IF(D37="Oui",MAX(0,7-(TODAY()-C37)),"")</f>
        <v/>
      </c>
      <c r="I37" s="6" t="str">
        <f t="shared" ref="I37:I68" si="6">IF(B37="","",IF(D37="Oui","GRATUIT",MAX(0,60-(G37*15))))</f>
        <v/>
      </c>
      <c r="J37">
        <f t="shared" ref="J37:J68" si="7">IF(ISNUMBER(I37),I37,0)</f>
        <v>0</v>
      </c>
    </row>
    <row r="38" spans="1:10" x14ac:dyDescent="0.25">
      <c r="A38" s="2"/>
      <c r="B38" s="3"/>
      <c r="C38" s="4"/>
      <c r="D38" s="2"/>
      <c r="E38" s="2"/>
      <c r="F38" s="3"/>
      <c r="G38" s="5" t="str">
        <f t="shared" si="4"/>
        <v/>
      </c>
      <c r="H38" s="6" t="str">
        <f t="shared" ca="1" si="5"/>
        <v/>
      </c>
      <c r="I38" s="6" t="str">
        <f t="shared" si="6"/>
        <v/>
      </c>
      <c r="J38">
        <f t="shared" si="7"/>
        <v>0</v>
      </c>
    </row>
    <row r="39" spans="1:10" x14ac:dyDescent="0.25">
      <c r="A39" s="2"/>
      <c r="B39" s="3"/>
      <c r="C39" s="4"/>
      <c r="D39" s="2"/>
      <c r="E39" s="2"/>
      <c r="F39" s="3"/>
      <c r="G39" s="5" t="str">
        <f t="shared" si="4"/>
        <v/>
      </c>
      <c r="H39" s="6" t="str">
        <f t="shared" ca="1" si="5"/>
        <v/>
      </c>
      <c r="I39" s="6" t="str">
        <f t="shared" si="6"/>
        <v/>
      </c>
      <c r="J39">
        <f t="shared" si="7"/>
        <v>0</v>
      </c>
    </row>
    <row r="40" spans="1:10" x14ac:dyDescent="0.25">
      <c r="A40" s="2"/>
      <c r="B40" s="3"/>
      <c r="C40" s="4"/>
      <c r="D40" s="2"/>
      <c r="E40" s="2"/>
      <c r="F40" s="3"/>
      <c r="G40" s="5" t="str">
        <f t="shared" si="4"/>
        <v/>
      </c>
      <c r="H40" s="6" t="str">
        <f t="shared" ca="1" si="5"/>
        <v/>
      </c>
      <c r="I40" s="6" t="str">
        <f t="shared" si="6"/>
        <v/>
      </c>
      <c r="J40">
        <f t="shared" si="7"/>
        <v>0</v>
      </c>
    </row>
    <row r="41" spans="1:10" x14ac:dyDescent="0.25">
      <c r="A41" s="2"/>
      <c r="B41" s="3"/>
      <c r="C41" s="4"/>
      <c r="D41" s="2"/>
      <c r="E41" s="2"/>
      <c r="F41" s="3"/>
      <c r="G41" s="5" t="str">
        <f t="shared" si="4"/>
        <v/>
      </c>
      <c r="H41" s="6" t="str">
        <f t="shared" ca="1" si="5"/>
        <v/>
      </c>
      <c r="I41" s="6" t="str">
        <f t="shared" si="6"/>
        <v/>
      </c>
      <c r="J41">
        <f t="shared" si="7"/>
        <v>0</v>
      </c>
    </row>
    <row r="42" spans="1:10" x14ac:dyDescent="0.25">
      <c r="A42" s="2"/>
      <c r="B42" s="3"/>
      <c r="C42" s="4"/>
      <c r="D42" s="2"/>
      <c r="E42" s="2"/>
      <c r="F42" s="3"/>
      <c r="G42" s="5" t="str">
        <f t="shared" si="4"/>
        <v/>
      </c>
      <c r="H42" s="6" t="str">
        <f t="shared" ca="1" si="5"/>
        <v/>
      </c>
      <c r="I42" s="6" t="str">
        <f t="shared" si="6"/>
        <v/>
      </c>
      <c r="J42">
        <f t="shared" si="7"/>
        <v>0</v>
      </c>
    </row>
    <row r="43" spans="1:10" x14ac:dyDescent="0.25">
      <c r="A43" s="2"/>
      <c r="B43" s="3"/>
      <c r="C43" s="4"/>
      <c r="D43" s="2"/>
      <c r="E43" s="2"/>
      <c r="F43" s="3"/>
      <c r="G43" s="5" t="str">
        <f t="shared" si="4"/>
        <v/>
      </c>
      <c r="H43" s="6" t="str">
        <f t="shared" ca="1" si="5"/>
        <v/>
      </c>
      <c r="I43" s="6" t="str">
        <f t="shared" si="6"/>
        <v/>
      </c>
      <c r="J43">
        <f t="shared" si="7"/>
        <v>0</v>
      </c>
    </row>
    <row r="44" spans="1:10" x14ac:dyDescent="0.25">
      <c r="A44" s="2"/>
      <c r="B44" s="3"/>
      <c r="C44" s="4"/>
      <c r="D44" s="2"/>
      <c r="E44" s="2"/>
      <c r="F44" s="3"/>
      <c r="G44" s="5" t="str">
        <f t="shared" si="4"/>
        <v/>
      </c>
      <c r="H44" s="6" t="str">
        <f t="shared" ca="1" si="5"/>
        <v/>
      </c>
      <c r="I44" s="6" t="str">
        <f t="shared" si="6"/>
        <v/>
      </c>
      <c r="J44">
        <f t="shared" si="7"/>
        <v>0</v>
      </c>
    </row>
    <row r="45" spans="1:10" x14ac:dyDescent="0.25">
      <c r="A45" s="2"/>
      <c r="B45" s="3"/>
      <c r="C45" s="4"/>
      <c r="D45" s="2"/>
      <c r="E45" s="2"/>
      <c r="F45" s="3"/>
      <c r="G45" s="5" t="str">
        <f t="shared" si="4"/>
        <v/>
      </c>
      <c r="H45" s="6" t="str">
        <f t="shared" ca="1" si="5"/>
        <v/>
      </c>
      <c r="I45" s="6" t="str">
        <f t="shared" si="6"/>
        <v/>
      </c>
      <c r="J45">
        <f t="shared" si="7"/>
        <v>0</v>
      </c>
    </row>
    <row r="46" spans="1:10" x14ac:dyDescent="0.25">
      <c r="A46" s="2"/>
      <c r="B46" s="3"/>
      <c r="C46" s="4"/>
      <c r="D46" s="2"/>
      <c r="E46" s="2"/>
      <c r="F46" s="3"/>
      <c r="G46" s="5" t="str">
        <f t="shared" si="4"/>
        <v/>
      </c>
      <c r="H46" s="6" t="str">
        <f t="shared" ca="1" si="5"/>
        <v/>
      </c>
      <c r="I46" s="6" t="str">
        <f t="shared" si="6"/>
        <v/>
      </c>
      <c r="J46">
        <f t="shared" si="7"/>
        <v>0</v>
      </c>
    </row>
    <row r="47" spans="1:10" x14ac:dyDescent="0.25">
      <c r="A47" s="2"/>
      <c r="B47" s="3"/>
      <c r="C47" s="4"/>
      <c r="D47" s="2"/>
      <c r="E47" s="2"/>
      <c r="F47" s="3"/>
      <c r="G47" s="5" t="str">
        <f t="shared" si="4"/>
        <v/>
      </c>
      <c r="H47" s="6" t="str">
        <f t="shared" ca="1" si="5"/>
        <v/>
      </c>
      <c r="I47" s="6" t="str">
        <f t="shared" si="6"/>
        <v/>
      </c>
      <c r="J47">
        <f t="shared" si="7"/>
        <v>0</v>
      </c>
    </row>
    <row r="48" spans="1:10" x14ac:dyDescent="0.25">
      <c r="A48" s="2"/>
      <c r="B48" s="3"/>
      <c r="C48" s="4"/>
      <c r="D48" s="2"/>
      <c r="E48" s="2"/>
      <c r="F48" s="3"/>
      <c r="G48" s="5" t="str">
        <f t="shared" si="4"/>
        <v/>
      </c>
      <c r="H48" s="6" t="str">
        <f t="shared" ca="1" si="5"/>
        <v/>
      </c>
      <c r="I48" s="6" t="str">
        <f t="shared" si="6"/>
        <v/>
      </c>
      <c r="J48">
        <f t="shared" si="7"/>
        <v>0</v>
      </c>
    </row>
    <row r="49" spans="1:10" x14ac:dyDescent="0.25">
      <c r="A49" s="2"/>
      <c r="B49" s="3"/>
      <c r="C49" s="4"/>
      <c r="D49" s="2"/>
      <c r="E49" s="2"/>
      <c r="F49" s="3"/>
      <c r="G49" s="5" t="str">
        <f t="shared" si="4"/>
        <v/>
      </c>
      <c r="H49" s="6" t="str">
        <f t="shared" ca="1" si="5"/>
        <v/>
      </c>
      <c r="I49" s="6" t="str">
        <f t="shared" si="6"/>
        <v/>
      </c>
      <c r="J49">
        <f t="shared" si="7"/>
        <v>0</v>
      </c>
    </row>
    <row r="50" spans="1:10" x14ac:dyDescent="0.25">
      <c r="A50" s="2"/>
      <c r="B50" s="3"/>
      <c r="C50" s="4"/>
      <c r="D50" s="2"/>
      <c r="E50" s="2"/>
      <c r="F50" s="3"/>
      <c r="G50" s="5" t="str">
        <f t="shared" si="4"/>
        <v/>
      </c>
      <c r="H50" s="6" t="str">
        <f t="shared" ca="1" si="5"/>
        <v/>
      </c>
      <c r="I50" s="6" t="str">
        <f t="shared" si="6"/>
        <v/>
      </c>
      <c r="J50">
        <f t="shared" si="7"/>
        <v>0</v>
      </c>
    </row>
    <row r="51" spans="1:10" x14ac:dyDescent="0.25">
      <c r="A51" s="2"/>
      <c r="B51" s="3"/>
      <c r="C51" s="4"/>
      <c r="D51" s="2"/>
      <c r="E51" s="2"/>
      <c r="F51" s="3"/>
      <c r="G51" s="5" t="str">
        <f t="shared" si="4"/>
        <v/>
      </c>
      <c r="H51" s="6" t="str">
        <f t="shared" ca="1" si="5"/>
        <v/>
      </c>
      <c r="I51" s="6" t="str">
        <f t="shared" si="6"/>
        <v/>
      </c>
      <c r="J51">
        <f t="shared" si="7"/>
        <v>0</v>
      </c>
    </row>
    <row r="52" spans="1:10" x14ac:dyDescent="0.25">
      <c r="A52" s="2"/>
      <c r="B52" s="3"/>
      <c r="C52" s="4"/>
      <c r="D52" s="2"/>
      <c r="E52" s="2"/>
      <c r="F52" s="3"/>
      <c r="G52" s="5" t="str">
        <f t="shared" si="4"/>
        <v/>
      </c>
      <c r="H52" s="6" t="str">
        <f t="shared" ca="1" si="5"/>
        <v/>
      </c>
      <c r="I52" s="6" t="str">
        <f t="shared" si="6"/>
        <v/>
      </c>
      <c r="J52">
        <f t="shared" si="7"/>
        <v>0</v>
      </c>
    </row>
    <row r="53" spans="1:10" x14ac:dyDescent="0.25">
      <c r="A53" s="2"/>
      <c r="B53" s="3"/>
      <c r="C53" s="4"/>
      <c r="D53" s="2"/>
      <c r="E53" s="2"/>
      <c r="F53" s="3"/>
      <c r="G53" s="5" t="str">
        <f t="shared" si="4"/>
        <v/>
      </c>
      <c r="H53" s="6" t="str">
        <f t="shared" ca="1" si="5"/>
        <v/>
      </c>
      <c r="I53" s="6" t="str">
        <f t="shared" si="6"/>
        <v/>
      </c>
      <c r="J53">
        <f t="shared" si="7"/>
        <v>0</v>
      </c>
    </row>
    <row r="54" spans="1:10" x14ac:dyDescent="0.25">
      <c r="A54" s="2"/>
      <c r="B54" s="3"/>
      <c r="C54" s="4"/>
      <c r="D54" s="2"/>
      <c r="E54" s="2"/>
      <c r="F54" s="3"/>
      <c r="G54" s="5" t="str">
        <f t="shared" si="4"/>
        <v/>
      </c>
      <c r="H54" s="6" t="str">
        <f t="shared" ca="1" si="5"/>
        <v/>
      </c>
      <c r="I54" s="6" t="str">
        <f t="shared" si="6"/>
        <v/>
      </c>
      <c r="J54">
        <f t="shared" si="7"/>
        <v>0</v>
      </c>
    </row>
    <row r="55" spans="1:10" x14ac:dyDescent="0.25">
      <c r="A55" s="2"/>
      <c r="B55" s="3"/>
      <c r="C55" s="4"/>
      <c r="D55" s="2"/>
      <c r="E55" s="2"/>
      <c r="F55" s="3"/>
      <c r="G55" s="5" t="str">
        <f t="shared" si="4"/>
        <v/>
      </c>
      <c r="H55" s="6" t="str">
        <f t="shared" ca="1" si="5"/>
        <v/>
      </c>
      <c r="I55" s="6" t="str">
        <f t="shared" si="6"/>
        <v/>
      </c>
      <c r="J55">
        <f t="shared" si="7"/>
        <v>0</v>
      </c>
    </row>
    <row r="56" spans="1:10" x14ac:dyDescent="0.25">
      <c r="A56" s="2"/>
      <c r="B56" s="3"/>
      <c r="C56" s="4"/>
      <c r="D56" s="2"/>
      <c r="E56" s="2"/>
      <c r="F56" s="3"/>
      <c r="G56" s="5" t="str">
        <f t="shared" si="4"/>
        <v/>
      </c>
      <c r="H56" s="6" t="str">
        <f t="shared" ca="1" si="5"/>
        <v/>
      </c>
      <c r="I56" s="6" t="str">
        <f t="shared" si="6"/>
        <v/>
      </c>
      <c r="J56">
        <f t="shared" si="7"/>
        <v>0</v>
      </c>
    </row>
    <row r="57" spans="1:10" x14ac:dyDescent="0.25">
      <c r="A57" s="2"/>
      <c r="B57" s="3"/>
      <c r="C57" s="4"/>
      <c r="D57" s="2"/>
      <c r="E57" s="2"/>
      <c r="F57" s="3"/>
      <c r="G57" s="5" t="str">
        <f t="shared" si="4"/>
        <v/>
      </c>
      <c r="H57" s="6" t="str">
        <f t="shared" ca="1" si="5"/>
        <v/>
      </c>
      <c r="I57" s="6" t="str">
        <f t="shared" si="6"/>
        <v/>
      </c>
      <c r="J57">
        <f t="shared" si="7"/>
        <v>0</v>
      </c>
    </row>
    <row r="58" spans="1:10" x14ac:dyDescent="0.25">
      <c r="A58" s="2"/>
      <c r="B58" s="3"/>
      <c r="C58" s="4"/>
      <c r="D58" s="2"/>
      <c r="E58" s="2"/>
      <c r="F58" s="3"/>
      <c r="G58" s="5" t="str">
        <f t="shared" si="4"/>
        <v/>
      </c>
      <c r="H58" s="6" t="str">
        <f t="shared" ca="1" si="5"/>
        <v/>
      </c>
      <c r="I58" s="6" t="str">
        <f t="shared" si="6"/>
        <v/>
      </c>
      <c r="J58">
        <f t="shared" si="7"/>
        <v>0</v>
      </c>
    </row>
    <row r="59" spans="1:10" x14ac:dyDescent="0.25">
      <c r="A59" s="2"/>
      <c r="B59" s="3"/>
      <c r="C59" s="4"/>
      <c r="D59" s="2"/>
      <c r="E59" s="2"/>
      <c r="F59" s="3"/>
      <c r="G59" s="5" t="str">
        <f t="shared" si="4"/>
        <v/>
      </c>
      <c r="H59" s="6" t="str">
        <f t="shared" ca="1" si="5"/>
        <v/>
      </c>
      <c r="I59" s="6" t="str">
        <f t="shared" si="6"/>
        <v/>
      </c>
      <c r="J59">
        <f t="shared" si="7"/>
        <v>0</v>
      </c>
    </row>
    <row r="60" spans="1:10" x14ac:dyDescent="0.25">
      <c r="A60" s="2"/>
      <c r="B60" s="3"/>
      <c r="C60" s="4"/>
      <c r="D60" s="2"/>
      <c r="E60" s="2"/>
      <c r="F60" s="3"/>
      <c r="G60" s="5" t="str">
        <f t="shared" si="4"/>
        <v/>
      </c>
      <c r="H60" s="6" t="str">
        <f t="shared" ca="1" si="5"/>
        <v/>
      </c>
      <c r="I60" s="6" t="str">
        <f t="shared" si="6"/>
        <v/>
      </c>
      <c r="J60">
        <f t="shared" si="7"/>
        <v>0</v>
      </c>
    </row>
    <row r="61" spans="1:10" x14ac:dyDescent="0.25">
      <c r="A61" s="2"/>
      <c r="B61" s="3"/>
      <c r="C61" s="4"/>
      <c r="D61" s="2"/>
      <c r="E61" s="2"/>
      <c r="F61" s="3"/>
      <c r="G61" s="5" t="str">
        <f t="shared" si="4"/>
        <v/>
      </c>
      <c r="H61" s="6" t="str">
        <f t="shared" ca="1" si="5"/>
        <v/>
      </c>
      <c r="I61" s="6" t="str">
        <f t="shared" si="6"/>
        <v/>
      </c>
      <c r="J61">
        <f t="shared" si="7"/>
        <v>0</v>
      </c>
    </row>
    <row r="62" spans="1:10" x14ac:dyDescent="0.25">
      <c r="A62" s="2"/>
      <c r="B62" s="3"/>
      <c r="C62" s="4"/>
      <c r="D62" s="2"/>
      <c r="E62" s="2"/>
      <c r="F62" s="3"/>
      <c r="G62" s="5" t="str">
        <f t="shared" si="4"/>
        <v/>
      </c>
      <c r="H62" s="6" t="str">
        <f t="shared" ca="1" si="5"/>
        <v/>
      </c>
      <c r="I62" s="6" t="str">
        <f t="shared" si="6"/>
        <v/>
      </c>
      <c r="J62">
        <f t="shared" si="7"/>
        <v>0</v>
      </c>
    </row>
    <row r="63" spans="1:10" x14ac:dyDescent="0.25">
      <c r="A63" s="2"/>
      <c r="B63" s="3"/>
      <c r="C63" s="4"/>
      <c r="D63" s="2"/>
      <c r="E63" s="2"/>
      <c r="F63" s="3"/>
      <c r="G63" s="5" t="str">
        <f t="shared" si="4"/>
        <v/>
      </c>
      <c r="H63" s="6" t="str">
        <f t="shared" ca="1" si="5"/>
        <v/>
      </c>
      <c r="I63" s="6" t="str">
        <f t="shared" si="6"/>
        <v/>
      </c>
      <c r="J63">
        <f t="shared" si="7"/>
        <v>0</v>
      </c>
    </row>
    <row r="64" spans="1:10" x14ac:dyDescent="0.25">
      <c r="A64" s="2"/>
      <c r="B64" s="3"/>
      <c r="C64" s="4"/>
      <c r="D64" s="2"/>
      <c r="E64" s="2"/>
      <c r="F64" s="3"/>
      <c r="G64" s="5" t="str">
        <f t="shared" si="4"/>
        <v/>
      </c>
      <c r="H64" s="6" t="str">
        <f t="shared" ca="1" si="5"/>
        <v/>
      </c>
      <c r="I64" s="6" t="str">
        <f t="shared" si="6"/>
        <v/>
      </c>
      <c r="J64">
        <f t="shared" si="7"/>
        <v>0</v>
      </c>
    </row>
    <row r="65" spans="1:10" x14ac:dyDescent="0.25">
      <c r="A65" s="2"/>
      <c r="B65" s="3"/>
      <c r="C65" s="4"/>
      <c r="D65" s="2"/>
      <c r="E65" s="2"/>
      <c r="F65" s="3"/>
      <c r="G65" s="5" t="str">
        <f t="shared" si="4"/>
        <v/>
      </c>
      <c r="H65" s="6" t="str">
        <f t="shared" ca="1" si="5"/>
        <v/>
      </c>
      <c r="I65" s="6" t="str">
        <f t="shared" si="6"/>
        <v/>
      </c>
      <c r="J65">
        <f t="shared" si="7"/>
        <v>0</v>
      </c>
    </row>
    <row r="66" spans="1:10" x14ac:dyDescent="0.25">
      <c r="A66" s="2"/>
      <c r="B66" s="3"/>
      <c r="C66" s="4"/>
      <c r="D66" s="2"/>
      <c r="E66" s="2"/>
      <c r="F66" s="3"/>
      <c r="G66" s="5" t="str">
        <f t="shared" si="4"/>
        <v/>
      </c>
      <c r="H66" s="6" t="str">
        <f t="shared" ca="1" si="5"/>
        <v/>
      </c>
      <c r="I66" s="6" t="str">
        <f t="shared" si="6"/>
        <v/>
      </c>
      <c r="J66">
        <f t="shared" si="7"/>
        <v>0</v>
      </c>
    </row>
    <row r="67" spans="1:10" x14ac:dyDescent="0.25">
      <c r="A67" s="2"/>
      <c r="B67" s="3"/>
      <c r="C67" s="4"/>
      <c r="D67" s="2"/>
      <c r="E67" s="2"/>
      <c r="F67" s="3"/>
      <c r="G67" s="5" t="str">
        <f t="shared" si="4"/>
        <v/>
      </c>
      <c r="H67" s="6" t="str">
        <f t="shared" ca="1" si="5"/>
        <v/>
      </c>
      <c r="I67" s="6" t="str">
        <f t="shared" si="6"/>
        <v/>
      </c>
      <c r="J67">
        <f t="shared" si="7"/>
        <v>0</v>
      </c>
    </row>
    <row r="68" spans="1:10" x14ac:dyDescent="0.25">
      <c r="A68" s="2"/>
      <c r="B68" s="3"/>
      <c r="C68" s="4"/>
      <c r="D68" s="2"/>
      <c r="E68" s="2"/>
      <c r="F68" s="3"/>
      <c r="G68" s="5" t="str">
        <f t="shared" si="4"/>
        <v/>
      </c>
      <c r="H68" s="6" t="str">
        <f t="shared" ca="1" si="5"/>
        <v/>
      </c>
      <c r="I68" s="6" t="str">
        <f t="shared" si="6"/>
        <v/>
      </c>
      <c r="J68">
        <f t="shared" si="7"/>
        <v>0</v>
      </c>
    </row>
    <row r="69" spans="1:10" x14ac:dyDescent="0.25">
      <c r="A69" s="2"/>
      <c r="B69" s="3"/>
      <c r="C69" s="4"/>
      <c r="D69" s="2"/>
      <c r="E69" s="2"/>
      <c r="F69" s="3"/>
      <c r="G69" s="5" t="str">
        <f t="shared" ref="G69:G104" si="8">IF(B69="","",SUMPRODUCT(($F$5:$F$104=B69)*($E$5:$E$104="Oui")))</f>
        <v/>
      </c>
      <c r="H69" s="6" t="str">
        <f t="shared" ref="H69:H104" ca="1" si="9">IF(D69="Oui",MAX(0,7-(TODAY()-C69)),"")</f>
        <v/>
      </c>
      <c r="I69" s="6" t="str">
        <f t="shared" ref="I69:I104" si="10">IF(B69="","",IF(D69="Oui","GRATUIT",MAX(0,60-(G69*15))))</f>
        <v/>
      </c>
      <c r="J69">
        <f t="shared" ref="J69:J100" si="11">IF(ISNUMBER(I69),I69,0)</f>
        <v>0</v>
      </c>
    </row>
    <row r="70" spans="1:10" x14ac:dyDescent="0.25">
      <c r="A70" s="2"/>
      <c r="B70" s="3"/>
      <c r="C70" s="4"/>
      <c r="D70" s="2"/>
      <c r="E70" s="2"/>
      <c r="F70" s="3"/>
      <c r="G70" s="5" t="str">
        <f t="shared" si="8"/>
        <v/>
      </c>
      <c r="H70" s="6" t="str">
        <f t="shared" ca="1" si="9"/>
        <v/>
      </c>
      <c r="I70" s="6" t="str">
        <f t="shared" si="10"/>
        <v/>
      </c>
      <c r="J70">
        <f t="shared" si="11"/>
        <v>0</v>
      </c>
    </row>
    <row r="71" spans="1:10" x14ac:dyDescent="0.25">
      <c r="A71" s="2"/>
      <c r="B71" s="3"/>
      <c r="C71" s="4"/>
      <c r="D71" s="2"/>
      <c r="E71" s="2"/>
      <c r="F71" s="3"/>
      <c r="G71" s="5" t="str">
        <f t="shared" si="8"/>
        <v/>
      </c>
      <c r="H71" s="6" t="str">
        <f t="shared" ca="1" si="9"/>
        <v/>
      </c>
      <c r="I71" s="6" t="str">
        <f t="shared" si="10"/>
        <v/>
      </c>
      <c r="J71">
        <f t="shared" si="11"/>
        <v>0</v>
      </c>
    </row>
    <row r="72" spans="1:10" x14ac:dyDescent="0.25">
      <c r="A72" s="2"/>
      <c r="B72" s="3"/>
      <c r="C72" s="4"/>
      <c r="D72" s="2"/>
      <c r="E72" s="2"/>
      <c r="F72" s="3"/>
      <c r="G72" s="5" t="str">
        <f t="shared" si="8"/>
        <v/>
      </c>
      <c r="H72" s="6" t="str">
        <f t="shared" ca="1" si="9"/>
        <v/>
      </c>
      <c r="I72" s="6" t="str">
        <f t="shared" si="10"/>
        <v/>
      </c>
      <c r="J72">
        <f t="shared" si="11"/>
        <v>0</v>
      </c>
    </row>
    <row r="73" spans="1:10" x14ac:dyDescent="0.25">
      <c r="A73" s="2"/>
      <c r="B73" s="3"/>
      <c r="C73" s="4"/>
      <c r="D73" s="2"/>
      <c r="E73" s="2"/>
      <c r="F73" s="3"/>
      <c r="G73" s="5" t="str">
        <f t="shared" si="8"/>
        <v/>
      </c>
      <c r="H73" s="6" t="str">
        <f t="shared" ca="1" si="9"/>
        <v/>
      </c>
      <c r="I73" s="6" t="str">
        <f t="shared" si="10"/>
        <v/>
      </c>
      <c r="J73">
        <f t="shared" si="11"/>
        <v>0</v>
      </c>
    </row>
    <row r="74" spans="1:10" x14ac:dyDescent="0.25">
      <c r="A74" s="2"/>
      <c r="B74" s="3"/>
      <c r="C74" s="4"/>
      <c r="D74" s="2"/>
      <c r="E74" s="2"/>
      <c r="F74" s="3"/>
      <c r="G74" s="5" t="str">
        <f t="shared" si="8"/>
        <v/>
      </c>
      <c r="H74" s="6" t="str">
        <f t="shared" ca="1" si="9"/>
        <v/>
      </c>
      <c r="I74" s="6" t="str">
        <f t="shared" si="10"/>
        <v/>
      </c>
      <c r="J74">
        <f t="shared" si="11"/>
        <v>0</v>
      </c>
    </row>
    <row r="75" spans="1:10" x14ac:dyDescent="0.25">
      <c r="A75" s="2"/>
      <c r="B75" s="3"/>
      <c r="C75" s="4"/>
      <c r="D75" s="2"/>
      <c r="E75" s="2"/>
      <c r="F75" s="3"/>
      <c r="G75" s="5" t="str">
        <f t="shared" si="8"/>
        <v/>
      </c>
      <c r="H75" s="6" t="str">
        <f t="shared" ca="1" si="9"/>
        <v/>
      </c>
      <c r="I75" s="6" t="str">
        <f t="shared" si="10"/>
        <v/>
      </c>
      <c r="J75">
        <f t="shared" si="11"/>
        <v>0</v>
      </c>
    </row>
    <row r="76" spans="1:10" x14ac:dyDescent="0.25">
      <c r="A76" s="2"/>
      <c r="B76" s="3"/>
      <c r="C76" s="4"/>
      <c r="D76" s="2"/>
      <c r="E76" s="2"/>
      <c r="F76" s="3"/>
      <c r="G76" s="5" t="str">
        <f t="shared" si="8"/>
        <v/>
      </c>
      <c r="H76" s="6" t="str">
        <f t="shared" ca="1" si="9"/>
        <v/>
      </c>
      <c r="I76" s="6" t="str">
        <f t="shared" si="10"/>
        <v/>
      </c>
      <c r="J76">
        <f t="shared" si="11"/>
        <v>0</v>
      </c>
    </row>
    <row r="77" spans="1:10" x14ac:dyDescent="0.25">
      <c r="A77" s="2"/>
      <c r="B77" s="3"/>
      <c r="C77" s="4"/>
      <c r="D77" s="2"/>
      <c r="E77" s="2"/>
      <c r="F77" s="3"/>
      <c r="G77" s="5" t="str">
        <f t="shared" si="8"/>
        <v/>
      </c>
      <c r="H77" s="6" t="str">
        <f t="shared" ca="1" si="9"/>
        <v/>
      </c>
      <c r="I77" s="6" t="str">
        <f t="shared" si="10"/>
        <v/>
      </c>
      <c r="J77">
        <f t="shared" si="11"/>
        <v>0</v>
      </c>
    </row>
    <row r="78" spans="1:10" x14ac:dyDescent="0.25">
      <c r="A78" s="2"/>
      <c r="B78" s="3"/>
      <c r="C78" s="4"/>
      <c r="D78" s="2"/>
      <c r="E78" s="2"/>
      <c r="F78" s="3"/>
      <c r="G78" s="5" t="str">
        <f t="shared" si="8"/>
        <v/>
      </c>
      <c r="H78" s="6" t="str">
        <f t="shared" ca="1" si="9"/>
        <v/>
      </c>
      <c r="I78" s="6" t="str">
        <f t="shared" si="10"/>
        <v/>
      </c>
      <c r="J78">
        <f t="shared" si="11"/>
        <v>0</v>
      </c>
    </row>
    <row r="79" spans="1:10" x14ac:dyDescent="0.25">
      <c r="A79" s="2"/>
      <c r="B79" s="3"/>
      <c r="C79" s="4"/>
      <c r="D79" s="2"/>
      <c r="E79" s="2"/>
      <c r="F79" s="3"/>
      <c r="G79" s="5" t="str">
        <f t="shared" si="8"/>
        <v/>
      </c>
      <c r="H79" s="6" t="str">
        <f t="shared" ca="1" si="9"/>
        <v/>
      </c>
      <c r="I79" s="6" t="str">
        <f t="shared" si="10"/>
        <v/>
      </c>
      <c r="J79">
        <f t="shared" si="11"/>
        <v>0</v>
      </c>
    </row>
    <row r="80" spans="1:10" x14ac:dyDescent="0.25">
      <c r="A80" s="2"/>
      <c r="B80" s="3"/>
      <c r="C80" s="4"/>
      <c r="D80" s="2"/>
      <c r="E80" s="2"/>
      <c r="F80" s="3"/>
      <c r="G80" s="5" t="str">
        <f t="shared" si="8"/>
        <v/>
      </c>
      <c r="H80" s="6" t="str">
        <f t="shared" ca="1" si="9"/>
        <v/>
      </c>
      <c r="I80" s="6" t="str">
        <f t="shared" si="10"/>
        <v/>
      </c>
      <c r="J80">
        <f t="shared" si="11"/>
        <v>0</v>
      </c>
    </row>
    <row r="81" spans="1:10" x14ac:dyDescent="0.25">
      <c r="A81" s="2"/>
      <c r="B81" s="3"/>
      <c r="C81" s="4"/>
      <c r="D81" s="2"/>
      <c r="E81" s="2"/>
      <c r="F81" s="3"/>
      <c r="G81" s="5" t="str">
        <f t="shared" si="8"/>
        <v/>
      </c>
      <c r="H81" s="6" t="str">
        <f t="shared" ca="1" si="9"/>
        <v/>
      </c>
      <c r="I81" s="6" t="str">
        <f t="shared" si="10"/>
        <v/>
      </c>
      <c r="J81">
        <f t="shared" si="11"/>
        <v>0</v>
      </c>
    </row>
    <row r="82" spans="1:10" x14ac:dyDescent="0.25">
      <c r="A82" s="2"/>
      <c r="B82" s="3"/>
      <c r="C82" s="4"/>
      <c r="D82" s="2"/>
      <c r="E82" s="2"/>
      <c r="F82" s="3"/>
      <c r="G82" s="5" t="str">
        <f t="shared" si="8"/>
        <v/>
      </c>
      <c r="H82" s="6" t="str">
        <f t="shared" ca="1" si="9"/>
        <v/>
      </c>
      <c r="I82" s="6" t="str">
        <f t="shared" si="10"/>
        <v/>
      </c>
      <c r="J82">
        <f t="shared" si="11"/>
        <v>0</v>
      </c>
    </row>
    <row r="83" spans="1:10" x14ac:dyDescent="0.25">
      <c r="A83" s="2"/>
      <c r="B83" s="3"/>
      <c r="C83" s="4"/>
      <c r="D83" s="2"/>
      <c r="E83" s="2"/>
      <c r="F83" s="3"/>
      <c r="G83" s="5" t="str">
        <f t="shared" si="8"/>
        <v/>
      </c>
      <c r="H83" s="6" t="str">
        <f t="shared" ca="1" si="9"/>
        <v/>
      </c>
      <c r="I83" s="6" t="str">
        <f t="shared" si="10"/>
        <v/>
      </c>
      <c r="J83">
        <f t="shared" si="11"/>
        <v>0</v>
      </c>
    </row>
    <row r="84" spans="1:10" x14ac:dyDescent="0.25">
      <c r="A84" s="2"/>
      <c r="B84" s="3"/>
      <c r="C84" s="4"/>
      <c r="D84" s="2"/>
      <c r="E84" s="2"/>
      <c r="F84" s="3"/>
      <c r="G84" s="5" t="str">
        <f t="shared" si="8"/>
        <v/>
      </c>
      <c r="H84" s="6" t="str">
        <f t="shared" ca="1" si="9"/>
        <v/>
      </c>
      <c r="I84" s="6" t="str">
        <f t="shared" si="10"/>
        <v/>
      </c>
      <c r="J84">
        <f t="shared" si="11"/>
        <v>0</v>
      </c>
    </row>
    <row r="85" spans="1:10" x14ac:dyDescent="0.25">
      <c r="A85" s="2"/>
      <c r="B85" s="3"/>
      <c r="C85" s="4"/>
      <c r="D85" s="2"/>
      <c r="E85" s="2"/>
      <c r="F85" s="3"/>
      <c r="G85" s="5" t="str">
        <f t="shared" si="8"/>
        <v/>
      </c>
      <c r="H85" s="6" t="str">
        <f t="shared" ca="1" si="9"/>
        <v/>
      </c>
      <c r="I85" s="6" t="str">
        <f t="shared" si="10"/>
        <v/>
      </c>
      <c r="J85">
        <f t="shared" si="11"/>
        <v>0</v>
      </c>
    </row>
    <row r="86" spans="1:10" x14ac:dyDescent="0.25">
      <c r="A86" s="2"/>
      <c r="B86" s="3"/>
      <c r="C86" s="4"/>
      <c r="D86" s="2"/>
      <c r="E86" s="2"/>
      <c r="F86" s="3"/>
      <c r="G86" s="5" t="str">
        <f t="shared" si="8"/>
        <v/>
      </c>
      <c r="H86" s="6" t="str">
        <f t="shared" ca="1" si="9"/>
        <v/>
      </c>
      <c r="I86" s="6" t="str">
        <f t="shared" si="10"/>
        <v/>
      </c>
      <c r="J86">
        <f t="shared" si="11"/>
        <v>0</v>
      </c>
    </row>
    <row r="87" spans="1:10" x14ac:dyDescent="0.25">
      <c r="A87" s="2"/>
      <c r="B87" s="3"/>
      <c r="C87" s="4"/>
      <c r="D87" s="2"/>
      <c r="E87" s="2"/>
      <c r="F87" s="3"/>
      <c r="G87" s="5" t="str">
        <f t="shared" si="8"/>
        <v/>
      </c>
      <c r="H87" s="6" t="str">
        <f t="shared" ca="1" si="9"/>
        <v/>
      </c>
      <c r="I87" s="6" t="str">
        <f t="shared" si="10"/>
        <v/>
      </c>
      <c r="J87">
        <f t="shared" si="11"/>
        <v>0</v>
      </c>
    </row>
    <row r="88" spans="1:10" x14ac:dyDescent="0.25">
      <c r="A88" s="2"/>
      <c r="B88" s="3"/>
      <c r="C88" s="4"/>
      <c r="D88" s="2"/>
      <c r="E88" s="2"/>
      <c r="F88" s="3"/>
      <c r="G88" s="5" t="str">
        <f t="shared" si="8"/>
        <v/>
      </c>
      <c r="H88" s="6" t="str">
        <f t="shared" ca="1" si="9"/>
        <v/>
      </c>
      <c r="I88" s="6" t="str">
        <f t="shared" si="10"/>
        <v/>
      </c>
      <c r="J88">
        <f t="shared" si="11"/>
        <v>0</v>
      </c>
    </row>
    <row r="89" spans="1:10" x14ac:dyDescent="0.25">
      <c r="A89" s="2"/>
      <c r="B89" s="3"/>
      <c r="C89" s="4"/>
      <c r="D89" s="2"/>
      <c r="E89" s="2"/>
      <c r="F89" s="3"/>
      <c r="G89" s="5" t="str">
        <f t="shared" si="8"/>
        <v/>
      </c>
      <c r="H89" s="6" t="str">
        <f t="shared" ca="1" si="9"/>
        <v/>
      </c>
      <c r="I89" s="6" t="str">
        <f t="shared" si="10"/>
        <v/>
      </c>
      <c r="J89">
        <f t="shared" si="11"/>
        <v>0</v>
      </c>
    </row>
    <row r="90" spans="1:10" x14ac:dyDescent="0.25">
      <c r="A90" s="2"/>
      <c r="B90" s="3"/>
      <c r="C90" s="4"/>
      <c r="D90" s="2"/>
      <c r="E90" s="2"/>
      <c r="F90" s="3"/>
      <c r="G90" s="5" t="str">
        <f t="shared" si="8"/>
        <v/>
      </c>
      <c r="H90" s="6" t="str">
        <f t="shared" ca="1" si="9"/>
        <v/>
      </c>
      <c r="I90" s="6" t="str">
        <f t="shared" si="10"/>
        <v/>
      </c>
      <c r="J90">
        <f t="shared" si="11"/>
        <v>0</v>
      </c>
    </row>
    <row r="91" spans="1:10" x14ac:dyDescent="0.25">
      <c r="A91" s="2"/>
      <c r="B91" s="3"/>
      <c r="C91" s="4"/>
      <c r="D91" s="2"/>
      <c r="E91" s="2"/>
      <c r="F91" s="3"/>
      <c r="G91" s="5" t="str">
        <f t="shared" si="8"/>
        <v/>
      </c>
      <c r="H91" s="6" t="str">
        <f t="shared" ca="1" si="9"/>
        <v/>
      </c>
      <c r="I91" s="6" t="str">
        <f t="shared" si="10"/>
        <v/>
      </c>
      <c r="J91">
        <f t="shared" si="11"/>
        <v>0</v>
      </c>
    </row>
    <row r="92" spans="1:10" x14ac:dyDescent="0.25">
      <c r="A92" s="2"/>
      <c r="B92" s="3"/>
      <c r="C92" s="4"/>
      <c r="D92" s="2"/>
      <c r="E92" s="2"/>
      <c r="F92" s="3"/>
      <c r="G92" s="5" t="str">
        <f t="shared" si="8"/>
        <v/>
      </c>
      <c r="H92" s="6" t="str">
        <f t="shared" ca="1" si="9"/>
        <v/>
      </c>
      <c r="I92" s="6" t="str">
        <f t="shared" si="10"/>
        <v/>
      </c>
      <c r="J92">
        <f t="shared" si="11"/>
        <v>0</v>
      </c>
    </row>
    <row r="93" spans="1:10" x14ac:dyDescent="0.25">
      <c r="A93" s="2"/>
      <c r="B93" s="3"/>
      <c r="C93" s="4"/>
      <c r="D93" s="2"/>
      <c r="E93" s="2"/>
      <c r="F93" s="3"/>
      <c r="G93" s="5" t="str">
        <f t="shared" si="8"/>
        <v/>
      </c>
      <c r="H93" s="6" t="str">
        <f t="shared" ca="1" si="9"/>
        <v/>
      </c>
      <c r="I93" s="6" t="str">
        <f t="shared" si="10"/>
        <v/>
      </c>
      <c r="J93">
        <f t="shared" si="11"/>
        <v>0</v>
      </c>
    </row>
    <row r="94" spans="1:10" x14ac:dyDescent="0.25">
      <c r="A94" s="2"/>
      <c r="B94" s="3"/>
      <c r="C94" s="4"/>
      <c r="D94" s="2"/>
      <c r="E94" s="2"/>
      <c r="F94" s="3"/>
      <c r="G94" s="5" t="str">
        <f t="shared" si="8"/>
        <v/>
      </c>
      <c r="H94" s="6" t="str">
        <f t="shared" ca="1" si="9"/>
        <v/>
      </c>
      <c r="I94" s="6" t="str">
        <f t="shared" si="10"/>
        <v/>
      </c>
      <c r="J94">
        <f t="shared" si="11"/>
        <v>0</v>
      </c>
    </row>
    <row r="95" spans="1:10" x14ac:dyDescent="0.25">
      <c r="A95" s="2"/>
      <c r="B95" s="3"/>
      <c r="C95" s="4"/>
      <c r="D95" s="2"/>
      <c r="E95" s="2"/>
      <c r="F95" s="3"/>
      <c r="G95" s="5" t="str">
        <f t="shared" si="8"/>
        <v/>
      </c>
      <c r="H95" s="6" t="str">
        <f t="shared" ca="1" si="9"/>
        <v/>
      </c>
      <c r="I95" s="6" t="str">
        <f t="shared" si="10"/>
        <v/>
      </c>
      <c r="J95">
        <f t="shared" si="11"/>
        <v>0</v>
      </c>
    </row>
    <row r="96" spans="1:10" x14ac:dyDescent="0.25">
      <c r="A96" s="2"/>
      <c r="B96" s="3"/>
      <c r="C96" s="4"/>
      <c r="D96" s="2"/>
      <c r="E96" s="2"/>
      <c r="F96" s="3"/>
      <c r="G96" s="5" t="str">
        <f t="shared" si="8"/>
        <v/>
      </c>
      <c r="H96" s="6" t="str">
        <f t="shared" ca="1" si="9"/>
        <v/>
      </c>
      <c r="I96" s="6" t="str">
        <f t="shared" si="10"/>
        <v/>
      </c>
      <c r="J96">
        <f t="shared" si="11"/>
        <v>0</v>
      </c>
    </row>
    <row r="97" spans="1:10" x14ac:dyDescent="0.25">
      <c r="A97" s="2" t="s">
        <v>19</v>
      </c>
      <c r="B97" s="3" t="s">
        <v>20</v>
      </c>
      <c r="C97" s="4">
        <v>46112</v>
      </c>
      <c r="D97" s="2" t="s">
        <v>12</v>
      </c>
      <c r="E97" s="2" t="s">
        <v>11</v>
      </c>
      <c r="F97" s="3" t="s">
        <v>20</v>
      </c>
      <c r="G97" s="5">
        <f t="shared" si="8"/>
        <v>0</v>
      </c>
      <c r="H97" s="6">
        <f t="shared" ca="1" si="9"/>
        <v>7</v>
      </c>
      <c r="I97" s="6" t="str">
        <f t="shared" si="10"/>
        <v>GRATUIT</v>
      </c>
      <c r="J97">
        <f t="shared" si="11"/>
        <v>0</v>
      </c>
    </row>
    <row r="98" spans="1:10" x14ac:dyDescent="0.25">
      <c r="A98" s="2"/>
      <c r="B98" s="3"/>
      <c r="C98" s="4"/>
      <c r="D98" s="2"/>
      <c r="E98" s="2"/>
      <c r="F98" s="3"/>
      <c r="G98" s="5" t="str">
        <f t="shared" si="8"/>
        <v/>
      </c>
      <c r="H98" s="6" t="str">
        <f t="shared" ca="1" si="9"/>
        <v/>
      </c>
      <c r="I98" s="6" t="str">
        <f t="shared" si="10"/>
        <v/>
      </c>
      <c r="J98">
        <f t="shared" si="11"/>
        <v>0</v>
      </c>
    </row>
    <row r="99" spans="1:10" x14ac:dyDescent="0.25">
      <c r="A99" s="2"/>
      <c r="B99" s="3"/>
      <c r="C99" s="4"/>
      <c r="D99" s="2"/>
      <c r="E99" s="2"/>
      <c r="F99" s="3"/>
      <c r="G99" s="5" t="str">
        <f t="shared" si="8"/>
        <v/>
      </c>
      <c r="H99" s="6" t="str">
        <f t="shared" ca="1" si="9"/>
        <v/>
      </c>
      <c r="I99" s="6" t="str">
        <f t="shared" si="10"/>
        <v/>
      </c>
      <c r="J99">
        <f t="shared" si="11"/>
        <v>0</v>
      </c>
    </row>
    <row r="100" spans="1:10" x14ac:dyDescent="0.25">
      <c r="A100" s="2"/>
      <c r="B100" s="3"/>
      <c r="C100" s="4"/>
      <c r="D100" s="2"/>
      <c r="E100" s="2"/>
      <c r="F100" s="3"/>
      <c r="G100" s="5" t="str">
        <f t="shared" si="8"/>
        <v/>
      </c>
      <c r="H100" s="6" t="str">
        <f t="shared" ca="1" si="9"/>
        <v/>
      </c>
      <c r="I100" s="6" t="str">
        <f t="shared" si="10"/>
        <v/>
      </c>
      <c r="J100">
        <f t="shared" si="11"/>
        <v>0</v>
      </c>
    </row>
    <row r="101" spans="1:10" x14ac:dyDescent="0.25">
      <c r="A101" s="2"/>
      <c r="B101" s="3"/>
      <c r="C101" s="4"/>
      <c r="D101" s="2"/>
      <c r="E101" s="2"/>
      <c r="F101" s="3"/>
      <c r="G101" s="5" t="str">
        <f t="shared" si="8"/>
        <v/>
      </c>
      <c r="H101" s="6" t="str">
        <f t="shared" ca="1" si="9"/>
        <v/>
      </c>
      <c r="I101" s="6" t="str">
        <f t="shared" si="10"/>
        <v/>
      </c>
      <c r="J101">
        <f t="shared" ref="J101:J104" si="12">IF(ISNUMBER(I101),I101,0)</f>
        <v>0</v>
      </c>
    </row>
    <row r="102" spans="1:10" x14ac:dyDescent="0.25">
      <c r="A102" s="2"/>
      <c r="B102" s="3"/>
      <c r="C102" s="4"/>
      <c r="D102" s="2"/>
      <c r="E102" s="2"/>
      <c r="F102" s="3"/>
      <c r="G102" s="5" t="str">
        <f t="shared" si="8"/>
        <v/>
      </c>
      <c r="H102" s="6" t="str">
        <f t="shared" ca="1" si="9"/>
        <v/>
      </c>
      <c r="I102" s="6" t="str">
        <f t="shared" si="10"/>
        <v/>
      </c>
      <c r="J102">
        <f t="shared" si="12"/>
        <v>0</v>
      </c>
    </row>
    <row r="103" spans="1:10" x14ac:dyDescent="0.25">
      <c r="A103" s="2"/>
      <c r="B103" s="3"/>
      <c r="C103" s="4"/>
      <c r="D103" s="2"/>
      <c r="E103" s="2"/>
      <c r="F103" s="3"/>
      <c r="G103" s="5" t="str">
        <f t="shared" si="8"/>
        <v/>
      </c>
      <c r="H103" s="6" t="str">
        <f t="shared" ca="1" si="9"/>
        <v/>
      </c>
      <c r="I103" s="6" t="str">
        <f t="shared" si="10"/>
        <v/>
      </c>
      <c r="J103">
        <f t="shared" si="12"/>
        <v>0</v>
      </c>
    </row>
    <row r="104" spans="1:10" x14ac:dyDescent="0.25">
      <c r="A104" s="2"/>
      <c r="B104" s="3"/>
      <c r="C104" s="4"/>
      <c r="D104" s="2"/>
      <c r="E104" s="2"/>
      <c r="F104" s="3"/>
      <c r="G104" s="5" t="str">
        <f t="shared" si="8"/>
        <v/>
      </c>
      <c r="H104" s="6" t="str">
        <f t="shared" ca="1" si="9"/>
        <v/>
      </c>
      <c r="I104" s="6" t="str">
        <f t="shared" si="10"/>
        <v/>
      </c>
      <c r="J104">
        <f t="shared" si="12"/>
        <v>0</v>
      </c>
    </row>
    <row r="107" spans="1:10" ht="15.75" x14ac:dyDescent="0.25">
      <c r="A107" s="11" t="s">
        <v>13</v>
      </c>
      <c r="B107" s="11"/>
    </row>
    <row r="108" spans="1:10" x14ac:dyDescent="0.25">
      <c r="A108" s="7" t="s">
        <v>14</v>
      </c>
      <c r="B108" s="8">
        <f>COUNTA(B5:B104)</f>
        <v>1</v>
      </c>
    </row>
    <row r="109" spans="1:10" x14ac:dyDescent="0.25">
      <c r="A109" s="7" t="s">
        <v>15</v>
      </c>
      <c r="B109" s="8">
        <f>COUNTIF(D5:D104,"Oui")</f>
        <v>1</v>
      </c>
    </row>
    <row r="110" spans="1:10" x14ac:dyDescent="0.25">
      <c r="A110" s="7" t="s">
        <v>16</v>
      </c>
      <c r="B110" s="8">
        <f>COUNTIF(E5:E104,"Oui")</f>
        <v>0</v>
      </c>
    </row>
    <row r="111" spans="1:10" x14ac:dyDescent="0.25">
      <c r="A111" s="7" t="s">
        <v>17</v>
      </c>
      <c r="B111" s="8">
        <f>COUNTIF(E5:E104,"Non")</f>
        <v>1</v>
      </c>
    </row>
    <row r="112" spans="1:10" x14ac:dyDescent="0.25">
      <c r="A112" s="7" t="s">
        <v>18</v>
      </c>
      <c r="B112" s="8">
        <f>SUM(J5:J104)</f>
        <v>0</v>
      </c>
    </row>
  </sheetData>
  <autoFilter ref="A4:I104" xr:uid="{00000000-0009-0000-0000-000000000000}"/>
  <mergeCells count="3">
    <mergeCell ref="A1:H1"/>
    <mergeCell ref="A2:H2"/>
    <mergeCell ref="A107:B107"/>
  </mergeCells>
  <dataValidations count="1">
    <dataValidation type="list" allowBlank="1" errorTitle="Valeur invalide" error="Veuillez saisir Oui ou Non" sqref="D5:E104" xr:uid="{00000000-0002-0000-0000-000000000000}">
      <formula1>"Oui,Non"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Membres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Axel Loyer | Redex Group</cp:lastModifiedBy>
  <cp:revision>0</cp:revision>
  <dcterms:created xsi:type="dcterms:W3CDTF">2026-03-29T20:32:34Z</dcterms:created>
  <dcterms:modified xsi:type="dcterms:W3CDTF">2026-03-31T15:17:07Z</dcterms:modified>
  <dc:language>en-US</dc:language>
</cp:coreProperties>
</file>